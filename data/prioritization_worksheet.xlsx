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 Rule" sheetId="1" state="visible" r:id="rId3"/>
    <sheet name="Prioritization" sheetId="2" state="visible" r:id="rId4"/>
    <sheet name="Scan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<sst xmlns="http://schemas.openxmlformats.org/spreadsheetml/2006/main" count="163" uniqueCount="97">
  <si>
    <t xml:space="preserve">Vulnerability Management Sprint: Prioritization Worksheet</t>
  </si>
  <si>
    <t xml:space="preserve">Analyst: Miracle Chimamanda Ndubuisi    Scan date: 17 Sep 2026    Scanner: Wazuh 4.14.6 Vulnerability Detection</t>
  </si>
  <si>
    <t xml:space="preserve">How a priority tier is assigned (applied by formula on the Prioritization sheet)</t>
  </si>
  <si>
    <t xml:space="preserve">Tier</t>
  </si>
  <si>
    <t xml:space="preserve">Rule</t>
  </si>
  <si>
    <t xml:space="preserve">Meaning</t>
  </si>
  <si>
    <t xml:space="preserve">P1</t>
  </si>
  <si>
    <t xml:space="preserve">In CISA KEV and asset criticality is High or Medium; OR CVSS &gt;= 9.0 on a High-criticality asset</t>
  </si>
  <si>
    <t xml:space="preserve">Immediate. Fix within 24 to 48 hours.</t>
  </si>
  <si>
    <t xml:space="preserve">P2</t>
  </si>
  <si>
    <t xml:space="preserve">CVSS &gt;= 7.0 on any asset not rated Low; OR in CISA KEV on a Low asset</t>
  </si>
  <si>
    <t xml:space="preserve">This week. Fix in the next patch window.</t>
  </si>
  <si>
    <t xml:space="preserve">P3</t>
  </si>
  <si>
    <t xml:space="preserve">Everything else (CVSS below 7.0, or Low asset with no KEV)</t>
  </si>
  <si>
    <t xml:space="preserve">Backlog. Fix in normal maintenance.</t>
  </si>
  <si>
    <t xml:space="preserve">Inputs used</t>
  </si>
  <si>
    <t xml:space="preserve">CVSS base score</t>
  </si>
  <si>
    <t xml:space="preserve">NVD CVSS v3.1 base score, pulled by kev_crossref.py. For grouped kernel rows the highest score in the group is used (10.0).</t>
  </si>
  <si>
    <t xml:space="preserve">CISA KEV</t>
  </si>
  <si>
    <t xml:space="preserve">Known Exploited Vulnerabilities catalog, cisa.gov/kev, downloaded 17 Sep 2026 (1,713 CVEs).</t>
  </si>
  <si>
    <t xml:space="preserve">Asset criticality</t>
  </si>
  <si>
    <t xml:space="preserve">From asset_inventory.md: windows-endpoint = High (user-operated workstation), linux-endpoint = Medium (headless, LAN-only).</t>
  </si>
  <si>
    <t xml:space="preserve">Why not CVSS alone</t>
  </si>
  <si>
    <t xml:space="preserve">CVSS measures how bad a vulnerability could be in the abstract. KEV tells you whether anyone is actually using it, and asset criticality tells you what it would cost you if they did. A 7.5 on KEV on a workstation outranks a 10.0 on an unused kernel package that is not even running.</t>
  </si>
  <si>
    <t xml:space="preserve">Legend</t>
  </si>
  <si>
    <t xml:space="preserve">Yellow cells</t>
  </si>
  <si>
    <t xml:space="preserve">Analyst inputs (asset criticality, override, justification, status). Everything else is data from the scanner or a formula.</t>
  </si>
  <si>
    <t xml:space="preserve">Blue text</t>
  </si>
  <si>
    <t xml:space="preserve">Hard-coded inputs taken from the scan exports.</t>
  </si>
  <si>
    <t xml:space="preserve">#</t>
  </si>
  <si>
    <t xml:space="preserve">Endpoint</t>
  </si>
  <si>
    <t xml:space="preserve">Finding (CVE)</t>
  </si>
  <si>
    <t xml:space="preserve">Package</t>
  </si>
  <si>
    <t xml:space="preserve">Installed version</t>
  </si>
  <si>
    <t xml:space="preserve">Wazuh severity</t>
  </si>
  <si>
    <t xml:space="preserve">CVSS base</t>
  </si>
  <si>
    <t xml:space="preserve">In CISA KEV?</t>
  </si>
  <si>
    <t xml:space="preserve">Computed tier</t>
  </si>
  <si>
    <t xml:space="preserve">Analyst override</t>
  </si>
  <si>
    <t xml:space="preserve">Final tier</t>
  </si>
  <si>
    <t xml:space="preserve">Justification (one sentence)</t>
  </si>
  <si>
    <t xml:space="preserve">Remediation</t>
  </si>
  <si>
    <t xml:space="preserve">Status</t>
  </si>
  <si>
    <t xml:space="preserve">windows-endpoint</t>
  </si>
  <si>
    <t xml:space="preserve">High</t>
  </si>
  <si>
    <t xml:space="preserve">CVE-2025-15556</t>
  </si>
  <si>
    <t xml:space="preserve">Notepad++ (32-bit x86)</t>
  </si>
  <si>
    <t xml:space="preserve">7.8.9</t>
  </si>
  <si>
    <t xml:space="preserve">YES</t>
  </si>
  <si>
    <t xml:space="preserve">Only finding in the estate on CISA KEV (added 12 Feb 2026, federal due date 5 Mar 2026), sitting on the High-criticality analyst workstation where a user runs the built-in updater: exploited-in-the-wild plus user-facing asset is the definition of P1.</t>
  </si>
  <si>
    <t xml:space="preserve">Upgrade Notepad++ to current release (8.9.6.1 or later); this single upgrade clears all 13 Notepad++ findings.</t>
  </si>
  <si>
    <t xml:space="preserve">Open</t>
  </si>
  <si>
    <t xml:space="preserve">CVE-2026-48800</t>
  </si>
  <si>
    <t xml:space="preserve">no</t>
  </si>
  <si>
    <t xml:space="preserve">Local code execution via crafted config on a user workstation, no public exploitation yet; fixed by the same upgrade as the P1.</t>
  </si>
  <si>
    <t xml:space="preserve">Same Notepad++ upgrade.</t>
  </si>
  <si>
    <t xml:space="preserve">CVE-2026-48778</t>
  </si>
  <si>
    <t xml:space="preserve">Same class as CVE-2026-48800 (config-driven command execution); rides on the same upgrade.</t>
  </si>
  <si>
    <t xml:space="preserve">CVE-2023-40031</t>
  </si>
  <si>
    <t xml:space="preserve">Heap overflow on opening a crafted file, plausible phishing vector on a workstation, but three years old with no KEV entry.</t>
  </si>
  <si>
    <t xml:space="preserve">CVE-2026-25926</t>
  </si>
  <si>
    <t xml:space="preserve">DLL search-path hijack needs an attacker already able to write to disk; real but secondary.</t>
  </si>
  <si>
    <t xml:space="preserve">CVE-2023-6401</t>
  </si>
  <si>
    <t xml:space="preserve">Wazuh labels this High but NVD scores it 5.3 Medium (local DoS); tier follows the NVD number. Severity mismatch noted for the report.</t>
  </si>
  <si>
    <t xml:space="preserve">linux-endpoint</t>
  </si>
  <si>
    <t xml:space="preserve">Medium</t>
  </si>
  <si>
    <t xml:space="preserve">CVE-2025-54289</t>
  </si>
  <si>
    <t xml:space="preserve">lxd</t>
  </si>
  <si>
    <t xml:space="preserve">5.0.9-ea18dad</t>
  </si>
  <si>
    <t xml:space="preserve">Privilege escalation via the LXD operations API, but LXD is unused on this host and the API is not network-exposed; fix is available in jammy-updates.</t>
  </si>
  <si>
    <t xml:space="preserve">apt upgrade lxd (snap/apt as applicable) or remove LXD if unused.</t>
  </si>
  <si>
    <t xml:space="preserve">CVE-2026-15308</t>
  </si>
  <si>
    <t xml:space="preserve">libpython3.10; libpython3.10-minimal; libpython3.10-stdlib; python3.10; python3.10-minimal</t>
  </si>
  <si>
    <t xml:space="preserve">3.10.12-1~22.04.16</t>
  </si>
  <si>
    <t xml:space="preserve">CPU DoS in html.parser only triggers when untrusted HTML is parsed; nothing on this host does that, and a security update (22.04.18) is already available.</t>
  </si>
  <si>
    <t xml:space="preserve">apt install --only-upgrade python3.10 libpython3.10-stdlib libpython3.10-minimal python3.10-minimal libpython3.10</t>
  </si>
  <si>
    <t xml:space="preserve">GROUP: 1,288 High/Critical CVEs</t>
  </si>
  <si>
    <t xml:space="preserve">linux-image-5.15.0-187-generic</t>
  </si>
  <si>
    <t xml:space="preserve">5.15.0-187.197</t>
  </si>
  <si>
    <t xml:space="preserve">Critical</t>
  </si>
  <si>
    <t xml:space="preserve">Highest volume item in the estate (3,186 findings, 1,288 High/Critical) but the package is not the running kernel, so none of it is exploitable; removing the package clears every finding at zero risk.</t>
  </si>
  <si>
    <t xml:space="preserve">apt remove linux-image-5.15.0-187-generic, then verify with dpkg -l and re-scan.</t>
  </si>
  <si>
    <t xml:space="preserve">GROUP: 1,284 High/Critical CVEs</t>
  </si>
  <si>
    <t xml:space="preserve">linux-image-5.15.0-191-generic</t>
  </si>
  <si>
    <t xml:space="preserve">5.15.0-191.201</t>
  </si>
  <si>
    <t xml:space="preserve">This is the running kernel and it is already the newest 5.15 build Ubuntu offers (no upgrade in apt), so these are unfixed-upstream or already-backported CVEs; accepted risk with monitoring until Ubuntu ships a newer kernel.</t>
  </si>
  <si>
    <t xml:space="preserve">No patch available today; re-check apt weekly, consider HWE kernel (6.x) as a compensating move.</t>
  </si>
  <si>
    <t xml:space="preserve">Tier counts</t>
  </si>
  <si>
    <t xml:space="preserve">Note: 'Wazuh severity' is the label from the scanner; 'CVSS base' is the NVD v3.1 score. Where they disagree (row 6) the tier follows the CVSS number.</t>
  </si>
  <si>
    <t xml:space="preserve">Medium/Low findings (Notepad++ 7 rows, Ubuntu 2,424 rows) are out of scope for tiering per the brief (High/Critical only) and are listed in the raw exports.</t>
  </si>
  <si>
    <t xml:space="preserve">Total findings</t>
  </si>
  <si>
    <t xml:space="preserve">Low</t>
  </si>
  <si>
    <t xml:space="preserve">Unscored</t>
  </si>
  <si>
    <t xml:space="preserve">Unique CVEs</t>
  </si>
  <si>
    <t xml:space="preserve">In CISA KEV</t>
  </si>
  <si>
    <t xml:space="preserve">Total</t>
  </si>
  <si>
    <t xml:space="preserve">Source: Wazuh Vulnerability Detection inventory exports (ubuntu_export.csv, windows_export.csv), 17 Sep 2026, processed by kev_crossref.py. Windows Medium count = 13 total minus 6 High.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</si>
</sst>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  <c r="C6" s="6" t="s">
        <v>8</v>
      </c>
    </row>
    <row r="7" customFormat="false" ht="15" hidden="false" customHeight="false" outlineLevel="0" collapsed="false">
      <c r="A7" s="5" t="s">
        <v>9</v>
      </c>
      <c r="B7" s="6" t="s">
        <v>10</v>
      </c>
      <c r="C7" s="6" t="s">
        <v>11</v>
      </c>
    </row>
    <row r="8" customFormat="false" ht="15" hidden="false" customHeight="false" outlineLevel="0" collapsed="false">
      <c r="A8" s="5" t="s">
        <v>12</v>
      </c>
      <c r="B8" s="6" t="s">
        <v>13</v>
      </c>
      <c r="C8" s="6" t="s">
        <v>14</v>
      </c>
    </row>
    <row r="10" customFormat="false" ht="15" hidden="false" customHeight="false" outlineLevel="0" collapsed="false">
      <c r="A10" s="3" t="s">
        <v>15</v>
      </c>
    </row>
    <row r="11" customFormat="false" ht="23.85" hidden="false" customHeight="false" outlineLevel="0" collapsed="false">
      <c r="A11" s="7" t="s">
        <v>16</v>
      </c>
      <c r="B11" s="8" t="s">
        <v>17</v>
      </c>
    </row>
    <row r="12" customFormat="false" ht="15" hidden="false" customHeight="false" outlineLevel="0" collapsed="false">
      <c r="A12" s="7" t="s">
        <v>18</v>
      </c>
      <c r="B12" s="8" t="s">
        <v>19</v>
      </c>
    </row>
    <row r="13" customFormat="false" ht="23.85" hidden="false" customHeight="false" outlineLevel="0" collapsed="false">
      <c r="A13" s="7" t="s">
        <v>20</v>
      </c>
      <c r="B13" s="8" t="s">
        <v>21</v>
      </c>
    </row>
    <row r="15" customFormat="false" ht="15" hidden="false" customHeight="false" outlineLevel="0" collapsed="false">
      <c r="A15" s="3" t="s">
        <v>22</v>
      </c>
    </row>
    <row r="16" customFormat="false" ht="60" hidden="false" customHeight="true" outlineLevel="0" collapsed="false">
      <c r="A16" s="7"/>
      <c r="B16" s="9" t="s">
        <v>23</v>
      </c>
      <c r="C16" s="9"/>
    </row>
    <row r="18" customFormat="false" ht="15" hidden="false" customHeight="false" outlineLevel="0" collapsed="false">
      <c r="A18" s="3" t="s">
        <v>24</v>
      </c>
    </row>
    <row r="19" customFormat="false" ht="23.85" hidden="false" customHeight="false" outlineLevel="0" collapsed="false">
      <c r="A19" s="7" t="s">
        <v>25</v>
      </c>
      <c r="B19" s="8" t="s">
        <v>26</v>
      </c>
    </row>
    <row r="20" customFormat="false" ht="15" hidden="false" customHeight="false" outlineLevel="0" collapsed="false">
      <c r="A20" s="7" t="s">
        <v>27</v>
      </c>
      <c r="B20" s="8" t="s">
        <v>28</v>
      </c>
    </row>
  </sheetData>
  <mergeCells count="1"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5" min="4" style="0" width="26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11" min="9" style="0" width="9"/>
    <col collapsed="false" customWidth="true" hidden="false" outlineLevel="0" max="12" min="12" style="0" width="8"/>
    <col collapsed="false" customWidth="true" hidden="false" outlineLevel="0" max="13" min="13" style="0" width="60"/>
    <col collapsed="false" customWidth="true" hidden="false" outlineLevel="0" max="14" min="14" style="0" width="44"/>
    <col collapsed="false" customWidth="true" hidden="false" outlineLevel="0" max="15" min="15" style="0" width="9"/>
  </cols>
  <sheetData>
    <row r="1" customFormat="false" ht="23.85" hidden="false" customHeight="false" outlineLevel="0" collapsed="false">
      <c r="A1" s="10" t="s">
        <v>29</v>
      </c>
      <c r="B1" s="10" t="s">
        <v>30</v>
      </c>
      <c r="C1" s="10" t="s">
        <v>20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  <c r="M1" s="10" t="s">
        <v>40</v>
      </c>
      <c r="N1" s="10" t="s">
        <v>41</v>
      </c>
      <c r="O1" s="10" t="s">
        <v>42</v>
      </c>
    </row>
    <row r="2" customFormat="false" ht="75" hidden="false" customHeight="true" outlineLevel="0" collapsed="false">
      <c r="A2" s="6" t="n">
        <v>1</v>
      </c>
      <c r="B2" s="11" t="s">
        <v>43</v>
      </c>
      <c r="C2" s="12" t="s">
        <v>44</v>
      </c>
      <c r="D2" s="11" t="s">
        <v>45</v>
      </c>
      <c r="E2" s="11" t="s">
        <v>46</v>
      </c>
      <c r="F2" s="11" t="s">
        <v>47</v>
      </c>
      <c r="G2" s="13" t="s">
        <v>44</v>
      </c>
      <c r="H2" s="14" t="n">
        <v>7.5</v>
      </c>
      <c r="I2" s="13" t="s">
        <v>48</v>
      </c>
      <c r="J2" s="15" t="str">
        <f aca="false">IF(OR(AND(I2="YES",C2&lt;&gt;"Low"),AND(H2&gt;=9,C2="High")),"P1",IF(OR(H2&gt;=7,I2="YES"),"P2","P3"))</f>
        <v>P1</v>
      </c>
      <c r="K2" s="12"/>
      <c r="L2" s="15" t="str">
        <f aca="false">IF(K2&lt;&gt;"",K2,J2)</f>
        <v>P1</v>
      </c>
      <c r="M2" s="16" t="s">
        <v>49</v>
      </c>
      <c r="N2" s="16" t="s">
        <v>50</v>
      </c>
      <c r="O2" s="12" t="s">
        <v>51</v>
      </c>
    </row>
    <row r="3" customFormat="false" ht="75" hidden="false" customHeight="true" outlineLevel="0" collapsed="false">
      <c r="A3" s="6" t="n">
        <v>2</v>
      </c>
      <c r="B3" s="11" t="s">
        <v>43</v>
      </c>
      <c r="C3" s="12" t="s">
        <v>44</v>
      </c>
      <c r="D3" s="11" t="s">
        <v>52</v>
      </c>
      <c r="E3" s="11" t="s">
        <v>46</v>
      </c>
      <c r="F3" s="11" t="s">
        <v>47</v>
      </c>
      <c r="G3" s="13" t="s">
        <v>44</v>
      </c>
      <c r="H3" s="14" t="n">
        <v>7.8</v>
      </c>
      <c r="I3" s="13" t="s">
        <v>53</v>
      </c>
      <c r="J3" s="15" t="str">
        <f aca="false">IF(OR(AND(I3="YES",C3&lt;&gt;"Low"),AND(H3&gt;=9,C3="High")),"P1",IF(OR(H3&gt;=7,I3="YES"),"P2","P3"))</f>
        <v>P2</v>
      </c>
      <c r="K3" s="12"/>
      <c r="L3" s="15" t="str">
        <f aca="false">IF(K3&lt;&gt;"",K3,J3)</f>
        <v>P2</v>
      </c>
      <c r="M3" s="16" t="s">
        <v>54</v>
      </c>
      <c r="N3" s="16" t="s">
        <v>55</v>
      </c>
      <c r="O3" s="12" t="s">
        <v>51</v>
      </c>
    </row>
    <row r="4" customFormat="false" ht="75" hidden="false" customHeight="true" outlineLevel="0" collapsed="false">
      <c r="A4" s="6" t="n">
        <v>3</v>
      </c>
      <c r="B4" s="11" t="s">
        <v>43</v>
      </c>
      <c r="C4" s="12" t="s">
        <v>44</v>
      </c>
      <c r="D4" s="11" t="s">
        <v>56</v>
      </c>
      <c r="E4" s="11" t="s">
        <v>46</v>
      </c>
      <c r="F4" s="11" t="s">
        <v>47</v>
      </c>
      <c r="G4" s="13" t="s">
        <v>44</v>
      </c>
      <c r="H4" s="14" t="n">
        <v>7.8</v>
      </c>
      <c r="I4" s="13" t="s">
        <v>53</v>
      </c>
      <c r="J4" s="15" t="str">
        <f aca="false">IF(OR(AND(I4="YES",C4&lt;&gt;"Low"),AND(H4&gt;=9,C4="High")),"P1",IF(OR(H4&gt;=7,I4="YES"),"P2","P3"))</f>
        <v>P2</v>
      </c>
      <c r="K4" s="12"/>
      <c r="L4" s="15" t="str">
        <f aca="false">IF(K4&lt;&gt;"",K4,J4)</f>
        <v>P2</v>
      </c>
      <c r="M4" s="16" t="s">
        <v>57</v>
      </c>
      <c r="N4" s="16" t="s">
        <v>55</v>
      </c>
      <c r="O4" s="12" t="s">
        <v>51</v>
      </c>
    </row>
    <row r="5" customFormat="false" ht="75" hidden="false" customHeight="true" outlineLevel="0" collapsed="false">
      <c r="A5" s="6" t="n">
        <v>4</v>
      </c>
      <c r="B5" s="11" t="s">
        <v>43</v>
      </c>
      <c r="C5" s="12" t="s">
        <v>44</v>
      </c>
      <c r="D5" s="11" t="s">
        <v>58</v>
      </c>
      <c r="E5" s="11" t="s">
        <v>46</v>
      </c>
      <c r="F5" s="11" t="s">
        <v>47</v>
      </c>
      <c r="G5" s="13" t="s">
        <v>44</v>
      </c>
      <c r="H5" s="14" t="n">
        <v>7.8</v>
      </c>
      <c r="I5" s="13" t="s">
        <v>53</v>
      </c>
      <c r="J5" s="15" t="str">
        <f aca="false">IF(OR(AND(I5="YES",C5&lt;&gt;"Low"),AND(H5&gt;=9,C5="High")),"P1",IF(OR(H5&gt;=7,I5="YES"),"P2","P3"))</f>
        <v>P2</v>
      </c>
      <c r="K5" s="12"/>
      <c r="L5" s="15" t="str">
        <f aca="false">IF(K5&lt;&gt;"",K5,J5)</f>
        <v>P2</v>
      </c>
      <c r="M5" s="16" t="s">
        <v>59</v>
      </c>
      <c r="N5" s="16" t="s">
        <v>55</v>
      </c>
      <c r="O5" s="12" t="s">
        <v>51</v>
      </c>
    </row>
    <row r="6" customFormat="false" ht="75" hidden="false" customHeight="true" outlineLevel="0" collapsed="false">
      <c r="A6" s="6" t="n">
        <v>5</v>
      </c>
      <c r="B6" s="11" t="s">
        <v>43</v>
      </c>
      <c r="C6" s="12" t="s">
        <v>44</v>
      </c>
      <c r="D6" s="11" t="s">
        <v>60</v>
      </c>
      <c r="E6" s="11" t="s">
        <v>46</v>
      </c>
      <c r="F6" s="11" t="s">
        <v>47</v>
      </c>
      <c r="G6" s="13" t="s">
        <v>44</v>
      </c>
      <c r="H6" s="14" t="n">
        <v>7.3</v>
      </c>
      <c r="I6" s="13" t="s">
        <v>53</v>
      </c>
      <c r="J6" s="15" t="str">
        <f aca="false">IF(OR(AND(I6="YES",C6&lt;&gt;"Low"),AND(H6&gt;=9,C6="High")),"P1",IF(OR(H6&gt;=7,I6="YES"),"P2","P3"))</f>
        <v>P2</v>
      </c>
      <c r="K6" s="12"/>
      <c r="L6" s="15" t="str">
        <f aca="false">IF(K6&lt;&gt;"",K6,J6)</f>
        <v>P2</v>
      </c>
      <c r="M6" s="16" t="s">
        <v>61</v>
      </c>
      <c r="N6" s="16" t="s">
        <v>55</v>
      </c>
      <c r="O6" s="12" t="s">
        <v>51</v>
      </c>
    </row>
    <row r="7" customFormat="false" ht="75" hidden="false" customHeight="true" outlineLevel="0" collapsed="false">
      <c r="A7" s="6" t="n">
        <v>6</v>
      </c>
      <c r="B7" s="11" t="s">
        <v>43</v>
      </c>
      <c r="C7" s="12" t="s">
        <v>44</v>
      </c>
      <c r="D7" s="11" t="s">
        <v>62</v>
      </c>
      <c r="E7" s="11" t="s">
        <v>46</v>
      </c>
      <c r="F7" s="11" t="s">
        <v>47</v>
      </c>
      <c r="G7" s="13" t="s">
        <v>44</v>
      </c>
      <c r="H7" s="14" t="n">
        <v>5.3</v>
      </c>
      <c r="I7" s="13" t="s">
        <v>53</v>
      </c>
      <c r="J7" s="15" t="str">
        <f aca="false">IF(OR(AND(I7="YES",C7&lt;&gt;"Low"),AND(H7&gt;=9,C7="High")),"P1",IF(OR(H7&gt;=7,I7="YES"),"P2","P3"))</f>
        <v>P3</v>
      </c>
      <c r="K7" s="12"/>
      <c r="L7" s="15" t="str">
        <f aca="false">IF(K7&lt;&gt;"",K7,J7)</f>
        <v>P3</v>
      </c>
      <c r="M7" s="16" t="s">
        <v>63</v>
      </c>
      <c r="N7" s="16" t="s">
        <v>55</v>
      </c>
      <c r="O7" s="12" t="s">
        <v>51</v>
      </c>
    </row>
    <row r="8" customFormat="false" ht="75" hidden="false" customHeight="true" outlineLevel="0" collapsed="false">
      <c r="A8" s="6" t="n">
        <v>7</v>
      </c>
      <c r="B8" s="11" t="s">
        <v>64</v>
      </c>
      <c r="C8" s="12" t="s">
        <v>65</v>
      </c>
      <c r="D8" s="11" t="s">
        <v>66</v>
      </c>
      <c r="E8" s="11" t="s">
        <v>67</v>
      </c>
      <c r="F8" s="11" t="s">
        <v>68</v>
      </c>
      <c r="G8" s="13" t="s">
        <v>44</v>
      </c>
      <c r="H8" s="14" t="n">
        <v>8.1</v>
      </c>
      <c r="I8" s="13" t="s">
        <v>53</v>
      </c>
      <c r="J8" s="15" t="str">
        <f aca="false">IF(OR(AND(I8="YES",C8&lt;&gt;"Low"),AND(H8&gt;=9,C8="High")),"P1",IF(OR(H8&gt;=7,I8="YES"),"P2","P3"))</f>
        <v>P2</v>
      </c>
      <c r="K8" s="12"/>
      <c r="L8" s="15" t="str">
        <f aca="false">IF(K8&lt;&gt;"",K8,J8)</f>
        <v>P2</v>
      </c>
      <c r="M8" s="16" t="s">
        <v>69</v>
      </c>
      <c r="N8" s="16" t="s">
        <v>70</v>
      </c>
      <c r="O8" s="12" t="s">
        <v>51</v>
      </c>
    </row>
    <row r="9" customFormat="false" ht="75" hidden="false" customHeight="true" outlineLevel="0" collapsed="false">
      <c r="A9" s="6" t="n">
        <v>8</v>
      </c>
      <c r="B9" s="11" t="s">
        <v>64</v>
      </c>
      <c r="C9" s="12" t="s">
        <v>65</v>
      </c>
      <c r="D9" s="11" t="s">
        <v>71</v>
      </c>
      <c r="E9" s="11" t="s">
        <v>72</v>
      </c>
      <c r="F9" s="11" t="s">
        <v>73</v>
      </c>
      <c r="G9" s="13" t="s">
        <v>44</v>
      </c>
      <c r="H9" s="14" t="n">
        <v>7.5</v>
      </c>
      <c r="I9" s="13" t="s">
        <v>53</v>
      </c>
      <c r="J9" s="15" t="str">
        <f aca="false">IF(OR(AND(I9="YES",C9&lt;&gt;"Low"),AND(H9&gt;=9,C9="High")),"P1",IF(OR(H9&gt;=7,I9="YES"),"P2","P3"))</f>
        <v>P2</v>
      </c>
      <c r="K9" s="12"/>
      <c r="L9" s="15" t="str">
        <f aca="false">IF(K9&lt;&gt;"",K9,J9)</f>
        <v>P2</v>
      </c>
      <c r="M9" s="16" t="s">
        <v>74</v>
      </c>
      <c r="N9" s="16" t="s">
        <v>75</v>
      </c>
      <c r="O9" s="12" t="s">
        <v>51</v>
      </c>
    </row>
    <row r="10" customFormat="false" ht="75" hidden="false" customHeight="true" outlineLevel="0" collapsed="false">
      <c r="A10" s="6" t="n">
        <v>9</v>
      </c>
      <c r="B10" s="11" t="s">
        <v>64</v>
      </c>
      <c r="C10" s="12" t="s">
        <v>65</v>
      </c>
      <c r="D10" s="11" t="s">
        <v>76</v>
      </c>
      <c r="E10" s="11" t="s">
        <v>77</v>
      </c>
      <c r="F10" s="11" t="s">
        <v>78</v>
      </c>
      <c r="G10" s="13" t="s">
        <v>79</v>
      </c>
      <c r="H10" s="14" t="n">
        <v>10</v>
      </c>
      <c r="I10" s="13" t="s">
        <v>53</v>
      </c>
      <c r="J10" s="15" t="str">
        <f aca="false">IF(OR(AND(I10="YES",C10&lt;&gt;"Low"),AND(H10&gt;=9,C10="High")),"P1",IF(OR(H10&gt;=7,I10="YES"),"P2","P3"))</f>
        <v>P2</v>
      </c>
      <c r="K10" s="12"/>
      <c r="L10" s="15" t="str">
        <f aca="false">IF(K10&lt;&gt;"",K10,J10)</f>
        <v>P2</v>
      </c>
      <c r="M10" s="16" t="s">
        <v>80</v>
      </c>
      <c r="N10" s="16" t="s">
        <v>81</v>
      </c>
      <c r="O10" s="12" t="s">
        <v>51</v>
      </c>
    </row>
    <row r="11" customFormat="false" ht="75" hidden="false" customHeight="true" outlineLevel="0" collapsed="false">
      <c r="A11" s="6" t="n">
        <v>10</v>
      </c>
      <c r="B11" s="11" t="s">
        <v>64</v>
      </c>
      <c r="C11" s="12" t="s">
        <v>65</v>
      </c>
      <c r="D11" s="11" t="s">
        <v>82</v>
      </c>
      <c r="E11" s="11" t="s">
        <v>83</v>
      </c>
      <c r="F11" s="11" t="s">
        <v>84</v>
      </c>
      <c r="G11" s="13" t="s">
        <v>79</v>
      </c>
      <c r="H11" s="14" t="n">
        <v>10</v>
      </c>
      <c r="I11" s="13" t="s">
        <v>53</v>
      </c>
      <c r="J11" s="15" t="str">
        <f aca="false">IF(OR(AND(I11="YES",C11&lt;&gt;"Low"),AND(H11&gt;=9,C11="High")),"P1",IF(OR(H11&gt;=7,I11="YES"),"P2","P3"))</f>
        <v>P2</v>
      </c>
      <c r="K11" s="12"/>
      <c r="L11" s="15" t="str">
        <f aca="false">IF(K11&lt;&gt;"",K11,J11)</f>
        <v>P2</v>
      </c>
      <c r="M11" s="16" t="s">
        <v>85</v>
      </c>
      <c r="N11" s="16" t="s">
        <v>86</v>
      </c>
      <c r="O11" s="12" t="s">
        <v>51</v>
      </c>
    </row>
    <row r="13" customFormat="false" ht="15" hidden="false" customHeight="false" outlineLevel="0" collapsed="false">
      <c r="B13" s="7" t="s">
        <v>87</v>
      </c>
    </row>
    <row r="14" customFormat="false" ht="15" hidden="false" customHeight="false" outlineLevel="0" collapsed="false">
      <c r="B14" s="17" t="s">
        <v>6</v>
      </c>
      <c r="C14" s="17" t="n">
        <f aca="false">COUNTIF($L$2:$L$11,"P1")</f>
        <v>1</v>
      </c>
    </row>
    <row r="15" customFormat="false" ht="15" hidden="false" customHeight="false" outlineLevel="0" collapsed="false">
      <c r="B15" s="17" t="s">
        <v>9</v>
      </c>
      <c r="C15" s="17" t="n">
        <f aca="false">COUNTIF($L$2:$L$11,"P2")</f>
        <v>8</v>
      </c>
    </row>
    <row r="16" customFormat="false" ht="15" hidden="false" customHeight="false" outlineLevel="0" collapsed="false">
      <c r="B16" s="17" t="s">
        <v>12</v>
      </c>
      <c r="C16" s="17" t="n">
        <f aca="false">COUNTIF($L$2:$L$11,"P3")</f>
        <v>1</v>
      </c>
    </row>
    <row r="18" customFormat="false" ht="15" hidden="false" customHeight="false" outlineLevel="0" collapsed="false">
      <c r="B18" s="2" t="s">
        <v>88</v>
      </c>
    </row>
    <row r="19" customFormat="false" ht="15" hidden="false" customHeight="false" outlineLevel="0" collapsed="false">
      <c r="B19" s="2" t="s">
        <v>89</v>
      </c>
    </row>
  </sheetData>
  <conditionalFormatting sqref="J2:J11">
    <cfRule type="cellIs" priority="2" operator="equal" aboveAverage="0" equalAverage="0" bottom="0" percent="0" rank="0" text="" dxfId="0">
      <formula>"P1"</formula>
    </cfRule>
    <cfRule type="cellIs" priority="3" operator="equal" aboveAverage="0" equalAverage="0" bottom="0" percent="0" rank="0" text="" dxfId="1">
      <formula>"P2"</formula>
    </cfRule>
    <cfRule type="cellIs" priority="4" operator="equal" aboveAverage="0" equalAverage="0" bottom="0" percent="0" rank="0" text="" dxfId="2">
      <formula>"P3"</formula>
    </cfRule>
  </conditionalFormatting>
  <conditionalFormatting sqref="L2:L11">
    <cfRule type="cellIs" priority="5" operator="equal" aboveAverage="0" equalAverage="0" bottom="0" percent="0" rank="0" text="" dxfId="0">
      <formula>"P1"</formula>
    </cfRule>
    <cfRule type="cellIs" priority="6" operator="equal" aboveAverage="0" equalAverage="0" bottom="0" percent="0" rank="0" text="" dxfId="1">
      <formula>"P2"</formula>
    </cfRule>
    <cfRule type="cellIs" priority="7" operator="equal" aboveAverage="0" equalAverage="0" bottom="0" percent="0" rank="0" text="" dxfId="2">
      <formula>"P3"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7" min="3" style="0" width="10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10" t="s">
        <v>30</v>
      </c>
      <c r="B1" s="10" t="s">
        <v>90</v>
      </c>
      <c r="C1" s="10" t="s">
        <v>79</v>
      </c>
      <c r="D1" s="10" t="s">
        <v>44</v>
      </c>
      <c r="E1" s="10" t="s">
        <v>65</v>
      </c>
      <c r="F1" s="10" t="s">
        <v>91</v>
      </c>
      <c r="G1" s="10" t="s">
        <v>92</v>
      </c>
      <c r="H1" s="10" t="s">
        <v>93</v>
      </c>
      <c r="I1" s="10" t="s">
        <v>94</v>
      </c>
    </row>
    <row r="2" customFormat="false" ht="15" hidden="false" customHeight="false" outlineLevel="0" collapsed="false">
      <c r="A2" s="18" t="s">
        <v>64</v>
      </c>
      <c r="B2" s="19" t="n">
        <v>6407</v>
      </c>
      <c r="C2" s="19" t="n">
        <v>371</v>
      </c>
      <c r="D2" s="19" t="n">
        <v>2207</v>
      </c>
      <c r="E2" s="19" t="n">
        <v>2383</v>
      </c>
      <c r="F2" s="19" t="n">
        <v>41</v>
      </c>
      <c r="G2" s="19" t="n">
        <v>1405</v>
      </c>
      <c r="H2" s="19" t="n">
        <v>3205</v>
      </c>
      <c r="I2" s="19" t="n">
        <v>0</v>
      </c>
    </row>
    <row r="3" customFormat="false" ht="15" hidden="false" customHeight="false" outlineLevel="0" collapsed="false">
      <c r="A3" s="18" t="s">
        <v>43</v>
      </c>
      <c r="B3" s="19" t="n">
        <v>13</v>
      </c>
      <c r="C3" s="19" t="n">
        <v>0</v>
      </c>
      <c r="D3" s="19" t="n">
        <v>6</v>
      </c>
      <c r="E3" s="19" t="n">
        <v>7</v>
      </c>
      <c r="F3" s="19" t="n">
        <v>0</v>
      </c>
      <c r="G3" s="19" t="n">
        <v>0</v>
      </c>
      <c r="H3" s="19" t="n">
        <v>13</v>
      </c>
      <c r="I3" s="19" t="n">
        <v>1</v>
      </c>
    </row>
    <row r="4" customFormat="false" ht="15" hidden="false" customHeight="false" outlineLevel="0" collapsed="false">
      <c r="A4" s="20" t="s">
        <v>95</v>
      </c>
      <c r="B4" s="21" t="n">
        <f aca="false">SUM(B2:B3)</f>
        <v>6420</v>
      </c>
      <c r="C4" s="21" t="n">
        <f aca="false">SUM(C2:C3)</f>
        <v>371</v>
      </c>
      <c r="D4" s="21" t="n">
        <f aca="false">SUM(D2:D3)</f>
        <v>2213</v>
      </c>
      <c r="E4" s="21" t="n">
        <f aca="false">SUM(E2:E3)</f>
        <v>2390</v>
      </c>
      <c r="F4" s="21" t="n">
        <f aca="false">SUM(F2:F3)</f>
        <v>41</v>
      </c>
      <c r="G4" s="21" t="n">
        <f aca="false">SUM(G2:G3)</f>
        <v>1405</v>
      </c>
      <c r="H4" s="21" t="n">
        <f aca="false">SUM(H2:H3)</f>
        <v>3218</v>
      </c>
      <c r="I4" s="21" t="n">
        <f aca="false">SUM(I2:I3)</f>
        <v>1</v>
      </c>
    </row>
    <row r="6" customFormat="false" ht="15" hidden="false" customHeight="false" outlineLevel="0" collapsed="false">
      <c r="A6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2026-09-17T07:48:22Z</dcterms:created>
  <dc:creator>openpyxl</dc:creator>
  <dc:description/>
  <dc:language>en-US</dc:language>
  <cp:lastModifiedBy/>
  <dcterms:modified xsi:type="dcterms:W3CDTF">2026-09-17T07:48:22Z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